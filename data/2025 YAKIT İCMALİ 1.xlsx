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8" documentId="11_AC29A0AF0E61B16A28F3E394F667F411969F72A5" xr6:coauthVersionLast="47" xr6:coauthVersionMax="47" xr10:uidLastSave="{FCD06D40-90EB-4B24-9857-C387C57C2DEC}"/>
  <bookViews>
    <workbookView xWindow="-98" yWindow="-98" windowWidth="21795" windowHeight="12975" firstSheet="1" activeTab="1" xr2:uid="{00000000-000D-0000-FFFF-FFFF00000000}"/>
  </bookViews>
  <sheets>
    <sheet name="İlçelere göre" sheetId="8" state="hidden" r:id="rId1"/>
    <sheet name="İLÇELERE GÖRE YAKIT TAHAKKUKU" sheetId="10" r:id="rId2"/>
  </sheets>
  <definedNames>
    <definedName name="_xlnm._FilterDatabase" localSheetId="0" hidden="1">'İlçelere göre'!$A$2:$J$2</definedName>
    <definedName name="_xlnm.Print_Area" localSheetId="0">'İlçelere göre'!$A$1:$S$38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0" l="1"/>
  <c r="B13" i="10"/>
  <c r="K6" i="8" l="1"/>
  <c r="K3" i="8"/>
</calcChain>
</file>

<file path=xl/sharedStrings.xml><?xml version="1.0" encoding="utf-8"?>
<sst xmlns="http://schemas.openxmlformats.org/spreadsheetml/2006/main" count="48" uniqueCount="13">
  <si>
    <t>MERKEZ</t>
  </si>
  <si>
    <t>ANAMUR</t>
  </si>
  <si>
    <t>BOZYAZI</t>
  </si>
  <si>
    <t>AYDINCIK</t>
  </si>
  <si>
    <t>GÜLNAR</t>
  </si>
  <si>
    <t>MUT</t>
  </si>
  <si>
    <t>SİLİFKE</t>
  </si>
  <si>
    <t>ERDEMLİ</t>
  </si>
  <si>
    <t>TARSUS</t>
  </si>
  <si>
    <t>ÇAMLIYAYLA</t>
  </si>
  <si>
    <t>TAŞIT</t>
  </si>
  <si>
    <t>TOPLAM</t>
  </si>
  <si>
    <t>DİĞER DEMİRBAŞ (JENERATÖR 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</si>
</sst>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4"/>
      <color theme="3" tint="0.3999755851924192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99FF"/>
      <color rgb="FFFF5050"/>
      <color rgb="FFFF7C80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İLÇE</a:t>
            </a:r>
            <a:r>
              <a:rPr lang="tr-TR" baseline="0"/>
              <a:t> BAZLI TAŞIT </a:t>
            </a:r>
            <a:r>
              <a:rPr lang="tr-TR"/>
              <a:t>TÜKETİMİ (LT)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'İlçelere göre'!$A$1:$J$1</c:f>
              <c:strCache>
                <c:ptCount val="10"/>
                <c:pt idx="0">
                  <c:v>TAŞIT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8966337588264364E-3"/>
                  <c:y val="-8.16256458508724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C9-42B9-9378-44287EDBA525}"/>
                </c:ext>
              </c:extLst>
            </c:dLbl>
            <c:dLbl>
              <c:idx val="1"/>
              <c:layout>
                <c:manualLayout>
                  <c:x val="1.9008153135703101E-3"/>
                  <c:y val="-7.73845722114924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C9-42B9-9378-44287EDBA525}"/>
                </c:ext>
              </c:extLst>
            </c:dLbl>
            <c:dLbl>
              <c:idx val="2"/>
              <c:layout>
                <c:manualLayout>
                  <c:x val="0"/>
                  <c:y val="-3.16231697452913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C9-42B9-9378-44287EDBA525}"/>
                </c:ext>
              </c:extLst>
            </c:dLbl>
            <c:dLbl>
              <c:idx val="3"/>
              <c:layout>
                <c:manualLayout>
                  <c:x val="0"/>
                  <c:y val="-3.63462586044668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C9-42B9-9378-44287EDBA525}"/>
                </c:ext>
              </c:extLst>
            </c:dLbl>
            <c:dLbl>
              <c:idx val="4"/>
              <c:layout>
                <c:manualLayout>
                  <c:x val="-1.8966337588264407E-3"/>
                  <c:y val="-0.128138793971508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C9-42B9-9378-44287EDBA525}"/>
                </c:ext>
              </c:extLst>
            </c:dLbl>
            <c:dLbl>
              <c:idx val="5"/>
              <c:layout>
                <c:manualLayout>
                  <c:x val="-6.9694958153766601E-17"/>
                  <c:y val="-4.9906733356443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C9-42B9-9378-44287EDBA525}"/>
                </c:ext>
              </c:extLst>
            </c:dLbl>
            <c:dLbl>
              <c:idx val="6"/>
              <c:layout>
                <c:manualLayout>
                  <c:x val="-1.9049968683142488E-3"/>
                  <c:y val="-0.320825368527047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C9-42B9-9378-44287EDBA525}"/>
                </c:ext>
              </c:extLst>
            </c:dLbl>
            <c:dLbl>
              <c:idx val="7"/>
              <c:layout>
                <c:manualLayout>
                  <c:x val="-1.390848689269979E-16"/>
                  <c:y val="-8.71420789382460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C9-42B9-9378-44287EDBA525}"/>
                </c:ext>
              </c:extLst>
            </c:dLbl>
            <c:dLbl>
              <c:idx val="8"/>
              <c:layout>
                <c:manualLayout>
                  <c:x val="-7.5865350353057628E-3"/>
                  <c:y val="-0.142348998827976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C9-42B9-9378-44287EDBA525}"/>
                </c:ext>
              </c:extLst>
            </c:dLbl>
            <c:dLbl>
              <c:idx val="9"/>
              <c:layout>
                <c:manualLayout>
                  <c:x val="-3.7974490723967505E-3"/>
                  <c:y val="-0.1454992654220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C9-42B9-9378-44287EDBA5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'İlçelere göre'!$A$2:$J$2</c:f>
              <c:strCache>
                <c:ptCount val="10"/>
                <c:pt idx="0">
                  <c:v>ANAMUR</c:v>
                </c:pt>
                <c:pt idx="1">
                  <c:v>BOZYAZI</c:v>
                </c:pt>
                <c:pt idx="2">
                  <c:v>AYDINCIK</c:v>
                </c:pt>
                <c:pt idx="3">
                  <c:v>ÇAMLIYAYLA</c:v>
                </c:pt>
                <c:pt idx="4">
                  <c:v>ERDEMLİ</c:v>
                </c:pt>
                <c:pt idx="5">
                  <c:v>GÜLNAR</c:v>
                </c:pt>
                <c:pt idx="6">
                  <c:v>MERKEZ</c:v>
                </c:pt>
                <c:pt idx="7">
                  <c:v>MUT</c:v>
                </c:pt>
                <c:pt idx="8">
                  <c:v>SİLİFKE</c:v>
                </c:pt>
                <c:pt idx="9">
                  <c:v>TARSUS</c:v>
                </c:pt>
              </c:strCache>
            </c:strRef>
          </c:cat>
          <c:val>
            <c:numRef>
              <c:f>'İlçelere göre'!$A$3:$J$3</c:f>
              <c:numCache>
                <c:formatCode>#,##0.00</c:formatCode>
                <c:ptCount val="10"/>
                <c:pt idx="0">
                  <c:v>192194.67</c:v>
                </c:pt>
                <c:pt idx="1">
                  <c:v>129149.98</c:v>
                </c:pt>
                <c:pt idx="2">
                  <c:v>101605.75999999999</c:v>
                </c:pt>
                <c:pt idx="3">
                  <c:v>86455.61</c:v>
                </c:pt>
                <c:pt idx="4">
                  <c:v>486388.77</c:v>
                </c:pt>
                <c:pt idx="5">
                  <c:v>142591.57</c:v>
                </c:pt>
                <c:pt idx="6">
                  <c:v>1485213.07</c:v>
                </c:pt>
                <c:pt idx="7">
                  <c:v>179112.31</c:v>
                </c:pt>
                <c:pt idx="8">
                  <c:v>618761.42000000004</c:v>
                </c:pt>
                <c:pt idx="9">
                  <c:v>580517.28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C9-42B9-9378-44287EDBA5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915118048"/>
        <c:axId val="-1915123488"/>
      </c:barChart>
      <c:catAx>
        <c:axId val="-191511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tr-TR"/>
          </a:p>
        </c:txPr>
        <c:crossAx val="-1915123488"/>
        <c:crosses val="autoZero"/>
        <c:auto val="0"/>
        <c:lblAlgn val="ctr"/>
        <c:lblOffset val="100"/>
        <c:noMultiLvlLbl val="0"/>
      </c:catAx>
      <c:valAx>
        <c:axId val="-19151234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-191511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İLÇE BAZLI  DİĞER DEMİRBAŞ TÜKETİMİ (LT)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'İlçelere göre'!$A$4:$J$4</c:f>
              <c:strCache>
                <c:ptCount val="10"/>
                <c:pt idx="0">
                  <c:v>DİĞER DEMİRBAŞ (JENERATÖR ..)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8872252606527348E-3"/>
                  <c:y val="-8.56267023225871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72-4065-B3B1-1026DF68FA1D}"/>
                </c:ext>
              </c:extLst>
            </c:dLbl>
            <c:dLbl>
              <c:idx val="1"/>
              <c:layout>
                <c:manualLayout>
                  <c:x val="5.6899012764793219E-3"/>
                  <c:y val="-6.89988279766916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72-4065-B3B1-1026DF68FA1D}"/>
                </c:ext>
              </c:extLst>
            </c:dLbl>
            <c:dLbl>
              <c:idx val="2"/>
              <c:layout>
                <c:manualLayout>
                  <c:x val="-3.4600027529834084E-17"/>
                  <c:y val="-3.58160418626916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72-4065-B3B1-1026DF68FA1D}"/>
                </c:ext>
              </c:extLst>
            </c:dLbl>
            <c:dLbl>
              <c:idx val="3"/>
              <c:layout>
                <c:manualLayout>
                  <c:x val="-6.954243446349895E-17"/>
                  <c:y val="-7.40821076610707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72-4065-B3B1-1026DF68FA1D}"/>
                </c:ext>
              </c:extLst>
            </c:dLbl>
            <c:dLbl>
              <c:idx val="4"/>
              <c:layout>
                <c:manualLayout>
                  <c:x val="-1.8966337588264407E-3"/>
                  <c:y val="-0.258117829610921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72-4065-B3B1-1026DF68FA1D}"/>
                </c:ext>
              </c:extLst>
            </c:dLbl>
            <c:dLbl>
              <c:idx val="5"/>
              <c:layout>
                <c:manualLayout>
                  <c:x val="-6.954243446349895E-17"/>
                  <c:y val="-0.158921408408854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72-4065-B3B1-1026DF68FA1D}"/>
                </c:ext>
              </c:extLst>
            </c:dLbl>
            <c:dLbl>
              <c:idx val="6"/>
              <c:layout>
                <c:manualLayout>
                  <c:x val="-6.954243446349895E-17"/>
                  <c:y val="-0.165689100183231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72-4065-B3B1-1026DF68FA1D}"/>
                </c:ext>
              </c:extLst>
            </c:dLbl>
            <c:dLbl>
              <c:idx val="7"/>
              <c:layout>
                <c:manualLayout>
                  <c:x val="-1.390848689269979E-16"/>
                  <c:y val="-6.1984846233843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72-4065-B3B1-1026DF68FA1D}"/>
                </c:ext>
              </c:extLst>
            </c:dLbl>
            <c:dLbl>
              <c:idx val="8"/>
              <c:layout>
                <c:manualLayout>
                  <c:x val="-1.390848689269979E-16"/>
                  <c:y val="-0.297485267171792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72-4065-B3B1-1026DF68FA1D}"/>
                </c:ext>
              </c:extLst>
            </c:dLbl>
            <c:dLbl>
              <c:idx val="9"/>
              <c:layout>
                <c:manualLayout>
                  <c:x val="-1.8966337588265797E-3"/>
                  <c:y val="-0.183235114478614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72-4065-B3B1-1026DF68FA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'İlçelere göre'!$A$5:$J$5</c:f>
              <c:strCache>
                <c:ptCount val="10"/>
                <c:pt idx="0">
                  <c:v>ANAMUR</c:v>
                </c:pt>
                <c:pt idx="1">
                  <c:v>BOZYAZI</c:v>
                </c:pt>
                <c:pt idx="2">
                  <c:v>AYDINCIK</c:v>
                </c:pt>
                <c:pt idx="3">
                  <c:v>ÇAMLIYAYLA</c:v>
                </c:pt>
                <c:pt idx="4">
                  <c:v>ERDEMLİ</c:v>
                </c:pt>
                <c:pt idx="5">
                  <c:v>GÜLNAR</c:v>
                </c:pt>
                <c:pt idx="6">
                  <c:v>MERKEZ</c:v>
                </c:pt>
                <c:pt idx="7">
                  <c:v>MUT</c:v>
                </c:pt>
                <c:pt idx="8">
                  <c:v>SİLİFKE</c:v>
                </c:pt>
                <c:pt idx="9">
                  <c:v>TARSUS</c:v>
                </c:pt>
              </c:strCache>
            </c:strRef>
          </c:cat>
          <c:val>
            <c:numRef>
              <c:f>'İlçelere göre'!$A$6:$J$6</c:f>
              <c:numCache>
                <c:formatCode>#,##0.00</c:formatCode>
                <c:ptCount val="10"/>
                <c:pt idx="0">
                  <c:v>71376.89</c:v>
                </c:pt>
                <c:pt idx="1">
                  <c:v>10034.9</c:v>
                </c:pt>
                <c:pt idx="2">
                  <c:v>11364.05</c:v>
                </c:pt>
                <c:pt idx="3">
                  <c:v>40432.29</c:v>
                </c:pt>
                <c:pt idx="4">
                  <c:v>270579.77</c:v>
                </c:pt>
                <c:pt idx="5">
                  <c:v>127638.66</c:v>
                </c:pt>
                <c:pt idx="6">
                  <c:v>149689.34</c:v>
                </c:pt>
                <c:pt idx="7">
                  <c:v>32149.66</c:v>
                </c:pt>
                <c:pt idx="8">
                  <c:v>293429.65000000002</c:v>
                </c:pt>
                <c:pt idx="9">
                  <c:v>143160.34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72-4065-B3B1-1026DF68FA1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915116416"/>
        <c:axId val="-1915114240"/>
      </c:barChart>
      <c:catAx>
        <c:axId val="-19151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tr-TR"/>
          </a:p>
        </c:txPr>
        <c:crossAx val="-1915114240"/>
        <c:crosses val="autoZero"/>
        <c:auto val="1"/>
        <c:lblAlgn val="ctr"/>
        <c:lblOffset val="100"/>
        <c:noMultiLvlLbl val="0"/>
      </c:catAx>
      <c:valAx>
        <c:axId val="-191511424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-19151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'İlçelere göre'!$A$1:$J$1</c:f>
              <c:strCache>
                <c:ptCount val="10"/>
                <c:pt idx="0">
                  <c:v>TAŞIT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E5-4984-A56E-F77312346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E5-4984-A56E-F77312346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E5-4984-A56E-F77312346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E5-4984-A56E-F77312346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E5-4984-A56E-F77312346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E5-4984-A56E-F773123461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E5-4984-A56E-F773123461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E5-4984-A56E-F773123461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E5-4984-A56E-F773123461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E5-4984-A56E-F773123461E0}"/>
              </c:ext>
            </c:extLst>
          </c:dPt>
          <c:dLbls>
            <c:dLbl>
              <c:idx val="0"/>
              <c:layout>
                <c:manualLayout>
                  <c:x val="-3.7170446702876267E-2"/>
                  <c:y val="-4.6076623717350745E-2"/>
                </c:manualLayout>
              </c:layout>
              <c:tx>
                <c:rich>
                  <a:bodyPr/>
                  <a:lstStyle/>
                  <a:p>
                    <a:fld id="{C07C35BC-B23F-4579-8108-8DD612837241}" type="CATEGORYNAME">
                      <a:rPr lang="en-US" b="1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[KATEGORİ ADI]</a:t>
                    </a:fld>
                    <a:r>
                      <a:rPr lang="en-US" b="1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
</a:t>
                    </a:r>
                    <a:fld id="{9EF884FC-E776-4ADC-ADE9-D73D763F40D7}" type="PERCENTAGE">
                      <a:rPr lang="en-US" b="1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[YÜZDE]</a:t>
                    </a:fld>
                    <a:endParaRPr lang="en-US" b="1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FE5-4984-A56E-F773123461E0}"/>
                </c:ext>
              </c:extLst>
            </c:dLbl>
            <c:dLbl>
              <c:idx val="1"/>
              <c:layout>
                <c:manualLayout>
                  <c:x val="0.10060591620339183"/>
                  <c:y val="1.2553200792909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E5-4984-A56E-F773123461E0}"/>
                </c:ext>
              </c:extLst>
            </c:dLbl>
            <c:dLbl>
              <c:idx val="2"/>
              <c:layout>
                <c:manualLayout>
                  <c:x val="0.18853211185610119"/>
                  <c:y val="-2.45831389925373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E5-4984-A56E-F773123461E0}"/>
                </c:ext>
              </c:extLst>
            </c:dLbl>
            <c:dLbl>
              <c:idx val="3"/>
              <c:layout>
                <c:manualLayout>
                  <c:x val="0.11844501743082873"/>
                  <c:y val="8.06979506763059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E5-4984-A56E-F773123461E0}"/>
                </c:ext>
              </c:extLst>
            </c:dLbl>
            <c:dLbl>
              <c:idx val="4"/>
              <c:layout>
                <c:manualLayout>
                  <c:x val="-0.1068898328034816"/>
                  <c:y val="-1.18568534281717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E5-4984-A56E-F773123461E0}"/>
                </c:ext>
              </c:extLst>
            </c:dLbl>
            <c:dLbl>
              <c:idx val="5"/>
              <c:layout>
                <c:manualLayout>
                  <c:x val="-0.14849276271874423"/>
                  <c:y val="-0.110843852028917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E5-4984-A56E-F773123461E0}"/>
                </c:ext>
              </c:extLst>
            </c:dLbl>
            <c:dLbl>
              <c:idx val="6"/>
              <c:layout>
                <c:manualLayout>
                  <c:x val="-3.4635778853287058E-2"/>
                  <c:y val="-0.136907503498134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FE5-4984-A56E-F773123461E0}"/>
                </c:ext>
              </c:extLst>
            </c:dLbl>
            <c:dLbl>
              <c:idx val="8"/>
              <c:layout>
                <c:manualLayout>
                  <c:x val="-1.618439325600031E-2"/>
                  <c:y val="3.24291627798507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FE5-4984-A56E-F773123461E0}"/>
                </c:ext>
              </c:extLst>
            </c:dLbl>
            <c:dLbl>
              <c:idx val="9"/>
              <c:layout>
                <c:manualLayout>
                  <c:x val="-2.0963885025564937E-2"/>
                  <c:y val="3.470805153917910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FE5-4984-A56E-F773123461E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tr-T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'İlçelere göre'!$A$2:$J$2</c:f>
              <c:strCache>
                <c:ptCount val="10"/>
                <c:pt idx="0">
                  <c:v>ANAMUR</c:v>
                </c:pt>
                <c:pt idx="1">
                  <c:v>BOZYAZI</c:v>
                </c:pt>
                <c:pt idx="2">
                  <c:v>AYDINCIK</c:v>
                </c:pt>
                <c:pt idx="3">
                  <c:v>ÇAMLIYAYLA</c:v>
                </c:pt>
                <c:pt idx="4">
                  <c:v>ERDEMLİ</c:v>
                </c:pt>
                <c:pt idx="5">
                  <c:v>GÜLNAR</c:v>
                </c:pt>
                <c:pt idx="6">
                  <c:v>MERKEZ</c:v>
                </c:pt>
                <c:pt idx="7">
                  <c:v>MUT</c:v>
                </c:pt>
                <c:pt idx="8">
                  <c:v>SİLİFKE</c:v>
                </c:pt>
                <c:pt idx="9">
                  <c:v>TARSUS</c:v>
                </c:pt>
              </c:strCache>
            </c:strRef>
          </c:cat>
          <c:val>
            <c:numRef>
              <c:f>'İlçelere göre'!$A$3:$J$3</c:f>
              <c:numCache>
                <c:formatCode>#,##0.00</c:formatCode>
                <c:ptCount val="10"/>
                <c:pt idx="0">
                  <c:v>192194.67</c:v>
                </c:pt>
                <c:pt idx="1">
                  <c:v>129149.98</c:v>
                </c:pt>
                <c:pt idx="2">
                  <c:v>101605.75999999999</c:v>
                </c:pt>
                <c:pt idx="3">
                  <c:v>86455.61</c:v>
                </c:pt>
                <c:pt idx="4">
                  <c:v>486388.77</c:v>
                </c:pt>
                <c:pt idx="5">
                  <c:v>142591.57</c:v>
                </c:pt>
                <c:pt idx="6">
                  <c:v>1485213.07</c:v>
                </c:pt>
                <c:pt idx="7">
                  <c:v>179112.31</c:v>
                </c:pt>
                <c:pt idx="8">
                  <c:v>618761.42000000004</c:v>
                </c:pt>
                <c:pt idx="9">
                  <c:v>580517.28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FE5-4984-A56E-F773123461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'İlçelere göre'!$A$4:$J$4</c:f>
              <c:strCache>
                <c:ptCount val="10"/>
                <c:pt idx="0">
                  <c:v>DİĞER DEMİRBAŞ (JENERATÖR ..)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C8-4F92-9F08-87FBC385CF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C8-4F92-9F08-87FBC385CF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C8-4F92-9F08-87FBC385CF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C8-4F92-9F08-87FBC385CF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C8-4F92-9F08-87FBC385CF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C8-4F92-9F08-87FBC385CF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C8-4F92-9F08-87FBC385CF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C8-4F92-9F08-87FBC385CF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C8-4F92-9F08-87FBC385CF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C8-4F92-9F08-87FBC385CF1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tr-T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'İlçelere göre'!$A$5:$J$5</c:f>
              <c:strCache>
                <c:ptCount val="10"/>
                <c:pt idx="0">
                  <c:v>ANAMUR</c:v>
                </c:pt>
                <c:pt idx="1">
                  <c:v>BOZYAZI</c:v>
                </c:pt>
                <c:pt idx="2">
                  <c:v>AYDINCIK</c:v>
                </c:pt>
                <c:pt idx="3">
                  <c:v>ÇAMLIYAYLA</c:v>
                </c:pt>
                <c:pt idx="4">
                  <c:v>ERDEMLİ</c:v>
                </c:pt>
                <c:pt idx="5">
                  <c:v>GÜLNAR</c:v>
                </c:pt>
                <c:pt idx="6">
                  <c:v>MERKEZ</c:v>
                </c:pt>
                <c:pt idx="7">
                  <c:v>MUT</c:v>
                </c:pt>
                <c:pt idx="8">
                  <c:v>SİLİFKE</c:v>
                </c:pt>
                <c:pt idx="9">
                  <c:v>TARSUS</c:v>
                </c:pt>
              </c:strCache>
            </c:strRef>
          </c:cat>
          <c:val>
            <c:numRef>
              <c:f>'İlçelere göre'!$A$6:$J$6</c:f>
              <c:numCache>
                <c:formatCode>#,##0.00</c:formatCode>
                <c:ptCount val="10"/>
                <c:pt idx="0">
                  <c:v>71376.89</c:v>
                </c:pt>
                <c:pt idx="1">
                  <c:v>10034.9</c:v>
                </c:pt>
                <c:pt idx="2">
                  <c:v>11364.05</c:v>
                </c:pt>
                <c:pt idx="3">
                  <c:v>40432.29</c:v>
                </c:pt>
                <c:pt idx="4">
                  <c:v>270579.77</c:v>
                </c:pt>
                <c:pt idx="5">
                  <c:v>127638.66</c:v>
                </c:pt>
                <c:pt idx="6">
                  <c:v>149689.34</c:v>
                </c:pt>
                <c:pt idx="7">
                  <c:v>32149.66</c:v>
                </c:pt>
                <c:pt idx="8">
                  <c:v>293429.65000000002</c:v>
                </c:pt>
                <c:pt idx="9">
                  <c:v>143160.34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DC8-4F92-9F08-87FBC385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56030</xdr:colOff>
      <xdr:row>7</xdr:row>
      <xdr:rowOff>1681</xdr:rowOff>
    </xdr:from>
    <xdr:to>
      <xdr:col>11</xdr:col>
      <xdr:colOff>89648</xdr:colOff>
      <xdr:row>21</xdr:row>
      <xdr:rowOff>134471</xdr:rowOff>
    </xdr:to>
    <xdr:graphicFrame macro="">
      <xdr:nvGraphicFramePr>
        <xdr:cNvPr id="37" name="Grafik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22412</xdr:rowOff>
    </xdr:from>
    <xdr:to>
      <xdr:col>11</xdr:col>
      <xdr:colOff>22412</xdr:colOff>
      <xdr:row>37</xdr:row>
      <xdr:rowOff>43702</xdr:rowOff>
    </xdr:to>
    <xdr:graphicFrame macro="">
      <xdr:nvGraphicFramePr>
        <xdr:cNvPr id="38" name="Grafik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11208</xdr:colOff>
      <xdr:row>7</xdr:row>
      <xdr:rowOff>11205</xdr:rowOff>
    </xdr:from>
    <xdr:to>
      <xdr:col>18</xdr:col>
      <xdr:colOff>885266</xdr:colOff>
      <xdr:row>21</xdr:row>
      <xdr:rowOff>88525</xdr:rowOff>
    </xdr:to>
    <xdr:graphicFrame macro="">
      <xdr:nvGraphicFramePr>
        <xdr:cNvPr id="42" name="Grafik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</xdr:colOff>
      <xdr:row>22</xdr:row>
      <xdr:rowOff>173934</xdr:rowOff>
    </xdr:from>
    <xdr:to>
      <xdr:col>18</xdr:col>
      <xdr:colOff>874059</xdr:colOff>
      <xdr:row>37</xdr:row>
      <xdr:rowOff>60754</xdr:rowOff>
    </xdr:to>
    <xdr:graphicFrame macro="">
      <xdr:nvGraphicFramePr>
        <xdr:cNvPr id="44" name="Grafik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5"/>
  <sheetViews>
    <sheetView view="pageBreakPreview" zoomScale="85" zoomScaleNormal="85" zoomScaleSheetLayoutView="85" workbookViewId="0">
      <selection sqref="A1:K6"/>
    </sheetView>
  </sheetViews>
  <sheetFormatPr defaultRowHeight="14.25" x14ac:dyDescent="0.45"/>
  <cols>
    <col min="1" max="3" width="10.33203125" bestFit="1" customWidth="1"/>
    <col min="4" max="4" width="11.796875" bestFit="1" customWidth="1"/>
    <col min="5" max="6" width="10.33203125" bestFit="1" customWidth="1"/>
    <col min="7" max="7" width="11.6640625" bestFit="1" customWidth="1"/>
    <col min="8" max="10" width="10.33203125" bestFit="1" customWidth="1"/>
    <col min="11" max="11" width="11.6640625" bestFit="1" customWidth="1"/>
    <col min="13" max="13" width="11.6640625" style="1" bestFit="1" customWidth="1"/>
    <col min="14" max="15" width="12" style="1" bestFit="1" customWidth="1"/>
    <col min="16" max="16" width="12.53125" style="1" bestFit="1" customWidth="1"/>
    <col min="17" max="18" width="12" style="1" bestFit="1" customWidth="1"/>
    <col min="19" max="19" width="13.6640625" style="1" bestFit="1" customWidth="1"/>
    <col min="20" max="21" width="12" style="1" bestFit="1" customWidth="1"/>
    <col min="22" max="22" width="19.33203125" style="1" bestFit="1" customWidth="1"/>
    <col min="24" max="24" width="11.6640625" bestFit="1" customWidth="1"/>
  </cols>
  <sheetData>
    <row r="1" spans="1:24" x14ac:dyDescent="0.45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5"/>
    </row>
    <row r="2" spans="1:24" x14ac:dyDescent="0.45">
      <c r="A2" s="4" t="s">
        <v>1</v>
      </c>
      <c r="B2" s="4" t="s">
        <v>2</v>
      </c>
      <c r="C2" s="4" t="s">
        <v>3</v>
      </c>
      <c r="D2" s="4" t="s">
        <v>9</v>
      </c>
      <c r="E2" s="4" t="s">
        <v>7</v>
      </c>
      <c r="F2" s="4" t="s">
        <v>4</v>
      </c>
      <c r="G2" s="4" t="s">
        <v>0</v>
      </c>
      <c r="H2" s="4" t="s">
        <v>5</v>
      </c>
      <c r="I2" s="4" t="s">
        <v>6</v>
      </c>
      <c r="J2" s="4" t="s">
        <v>8</v>
      </c>
      <c r="K2" s="4" t="s">
        <v>11</v>
      </c>
      <c r="X2" s="2"/>
    </row>
    <row r="3" spans="1:24" x14ac:dyDescent="0.45">
      <c r="A3" s="3">
        <v>192194.67</v>
      </c>
      <c r="B3" s="3">
        <v>129149.98</v>
      </c>
      <c r="C3" s="3">
        <v>101605.75999999999</v>
      </c>
      <c r="D3" s="3">
        <v>86455.61</v>
      </c>
      <c r="E3" s="3">
        <v>486388.77</v>
      </c>
      <c r="F3" s="3">
        <v>142591.57</v>
      </c>
      <c r="G3" s="3">
        <v>1485213.07</v>
      </c>
      <c r="H3" s="3">
        <v>179112.31</v>
      </c>
      <c r="I3" s="3">
        <v>618761.42000000004</v>
      </c>
      <c r="J3" s="3">
        <v>580517.28</v>
      </c>
      <c r="K3" s="6">
        <f>SUM(A3:J3)</f>
        <v>4001990.44</v>
      </c>
      <c r="X3" s="2"/>
    </row>
    <row r="4" spans="1:24" x14ac:dyDescent="0.45">
      <c r="A4" s="12" t="s">
        <v>12</v>
      </c>
      <c r="B4" s="12"/>
      <c r="C4" s="12"/>
      <c r="D4" s="12"/>
      <c r="E4" s="12"/>
      <c r="F4" s="12"/>
      <c r="G4" s="12"/>
      <c r="H4" s="12"/>
      <c r="I4" s="12"/>
      <c r="J4" s="12"/>
      <c r="K4" s="5"/>
      <c r="X4" s="2"/>
    </row>
    <row r="5" spans="1:24" x14ac:dyDescent="0.45">
      <c r="A5" s="4" t="s">
        <v>1</v>
      </c>
      <c r="B5" s="4" t="s">
        <v>2</v>
      </c>
      <c r="C5" s="4" t="s">
        <v>3</v>
      </c>
      <c r="D5" s="4" t="s">
        <v>9</v>
      </c>
      <c r="E5" s="4" t="s">
        <v>7</v>
      </c>
      <c r="F5" s="4" t="s">
        <v>4</v>
      </c>
      <c r="G5" s="4" t="s">
        <v>0</v>
      </c>
      <c r="H5" s="4" t="s">
        <v>5</v>
      </c>
      <c r="I5" s="4" t="s">
        <v>6</v>
      </c>
      <c r="J5" s="4" t="s">
        <v>8</v>
      </c>
      <c r="K5" s="4" t="s">
        <v>11</v>
      </c>
      <c r="X5" s="2"/>
    </row>
    <row r="6" spans="1:24" x14ac:dyDescent="0.45">
      <c r="A6" s="3">
        <v>71376.89</v>
      </c>
      <c r="B6" s="3">
        <v>10034.9</v>
      </c>
      <c r="C6" s="3">
        <v>11364.05</v>
      </c>
      <c r="D6" s="3">
        <v>40432.29</v>
      </c>
      <c r="E6" s="3">
        <v>270579.77</v>
      </c>
      <c r="F6" s="3">
        <v>127638.66</v>
      </c>
      <c r="G6" s="3">
        <v>149689.34</v>
      </c>
      <c r="H6" s="3">
        <v>32149.66</v>
      </c>
      <c r="I6" s="3">
        <v>293429.65000000002</v>
      </c>
      <c r="J6" s="3">
        <v>143160.34</v>
      </c>
      <c r="K6" s="6">
        <f>SUM(A6:J6)</f>
        <v>1149855.55</v>
      </c>
      <c r="X6" s="2"/>
    </row>
    <row r="7" spans="1:24" x14ac:dyDescent="0.45">
      <c r="X7" s="2"/>
    </row>
    <row r="8" spans="1:24" x14ac:dyDescent="0.45">
      <c r="X8" s="2"/>
    </row>
    <row r="9" spans="1:24" x14ac:dyDescent="0.45">
      <c r="X9" s="2"/>
    </row>
    <row r="25" spans="22:23" x14ac:dyDescent="0.45">
      <c r="V25"/>
      <c r="W25" s="1"/>
    </row>
    <row r="26" spans="22:23" x14ac:dyDescent="0.45">
      <c r="V26"/>
      <c r="W26" s="1"/>
    </row>
    <row r="27" spans="22:23" x14ac:dyDescent="0.45">
      <c r="V27"/>
      <c r="W27" s="1"/>
    </row>
    <row r="28" spans="22:23" x14ac:dyDescent="0.45">
      <c r="V28"/>
      <c r="W28" s="1"/>
    </row>
    <row r="29" spans="22:23" x14ac:dyDescent="0.45">
      <c r="V29"/>
      <c r="W29" s="1"/>
    </row>
    <row r="30" spans="22:23" x14ac:dyDescent="0.45">
      <c r="V30"/>
      <c r="W30" s="1"/>
    </row>
    <row r="31" spans="22:23" x14ac:dyDescent="0.45">
      <c r="V31"/>
      <c r="W31" s="1"/>
    </row>
    <row r="32" spans="22:23" x14ac:dyDescent="0.45">
      <c r="V32"/>
      <c r="W32" s="1"/>
    </row>
    <row r="33" spans="22:23" x14ac:dyDescent="0.45">
      <c r="V33"/>
      <c r="W33" s="1"/>
    </row>
    <row r="34" spans="22:23" x14ac:dyDescent="0.45">
      <c r="V34"/>
      <c r="W34" s="1"/>
    </row>
    <row r="35" spans="22:23" x14ac:dyDescent="0.45">
      <c r="V35"/>
      <c r="W35" s="1"/>
    </row>
  </sheetData>
  <mergeCells count="2">
    <mergeCell ref="A4:J4"/>
    <mergeCell ref="A1:J1"/>
  </mergeCells>
  <pageMargins left="0.31" right="0.17" top="0.49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E18" sqref="E18"/>
    </sheetView>
  </sheetViews>
  <sheetFormatPr defaultRowHeight="14.25" x14ac:dyDescent="0.45"/>
  <cols>
    <col min="1" max="1" width="11.86328125" bestFit="1" customWidth="1"/>
    <col min="2" max="2" width="11.53125" bestFit="1" customWidth="1"/>
    <col min="4" max="4" width="18.19921875" customWidth="1"/>
    <col min="5" max="5" width="14.86328125" style="8" customWidth="1"/>
  </cols>
  <sheetData>
    <row r="1" spans="1:5" ht="18" x14ac:dyDescent="0.55000000000000004">
      <c r="A1" s="14">
        <v>2025</v>
      </c>
      <c r="B1" s="14"/>
      <c r="C1" s="14"/>
      <c r="D1" s="14"/>
      <c r="E1" s="14"/>
    </row>
    <row r="2" spans="1:5" ht="15.75" x14ac:dyDescent="0.5">
      <c r="A2" s="10" t="s">
        <v>10</v>
      </c>
      <c r="B2" s="11"/>
      <c r="D2" s="10" t="s">
        <v>12</v>
      </c>
      <c r="E2" s="10"/>
    </row>
    <row r="3" spans="1:5" x14ac:dyDescent="0.45">
      <c r="A3" s="7" t="s">
        <v>1</v>
      </c>
      <c r="B3" s="3">
        <v>192194.67</v>
      </c>
      <c r="D3" s="7" t="s">
        <v>1</v>
      </c>
      <c r="E3" s="3">
        <v>71376.89</v>
      </c>
    </row>
    <row r="4" spans="1:5" x14ac:dyDescent="0.45">
      <c r="A4" s="7" t="s">
        <v>2</v>
      </c>
      <c r="B4" s="3">
        <v>129149.98</v>
      </c>
      <c r="D4" s="7" t="s">
        <v>2</v>
      </c>
      <c r="E4" s="3">
        <v>10034.9</v>
      </c>
    </row>
    <row r="5" spans="1:5" x14ac:dyDescent="0.45">
      <c r="A5" s="7" t="s">
        <v>3</v>
      </c>
      <c r="B5" s="3">
        <v>101605.75999999999</v>
      </c>
      <c r="D5" s="7" t="s">
        <v>3</v>
      </c>
      <c r="E5" s="3">
        <v>11364.05</v>
      </c>
    </row>
    <row r="6" spans="1:5" x14ac:dyDescent="0.45">
      <c r="A6" s="7" t="s">
        <v>9</v>
      </c>
      <c r="B6" s="3">
        <v>86455.61</v>
      </c>
      <c r="D6" s="7" t="s">
        <v>9</v>
      </c>
      <c r="E6" s="3">
        <v>40432.29</v>
      </c>
    </row>
    <row r="7" spans="1:5" x14ac:dyDescent="0.45">
      <c r="A7" s="7" t="s">
        <v>7</v>
      </c>
      <c r="B7" s="3">
        <v>486388.77</v>
      </c>
      <c r="D7" s="7" t="s">
        <v>7</v>
      </c>
      <c r="E7" s="3">
        <v>270579.77</v>
      </c>
    </row>
    <row r="8" spans="1:5" x14ac:dyDescent="0.45">
      <c r="A8" s="7" t="s">
        <v>4</v>
      </c>
      <c r="B8" s="3">
        <v>142591.57</v>
      </c>
      <c r="D8" s="7" t="s">
        <v>4</v>
      </c>
      <c r="E8" s="3">
        <v>127638.66</v>
      </c>
    </row>
    <row r="9" spans="1:5" x14ac:dyDescent="0.45">
      <c r="A9" s="7" t="s">
        <v>0</v>
      </c>
      <c r="B9" s="3">
        <v>1485213.07</v>
      </c>
      <c r="D9" s="7" t="s">
        <v>0</v>
      </c>
      <c r="E9" s="3">
        <v>149689.34</v>
      </c>
    </row>
    <row r="10" spans="1:5" x14ac:dyDescent="0.45">
      <c r="A10" s="7" t="s">
        <v>5</v>
      </c>
      <c r="B10" s="3">
        <v>179112.31</v>
      </c>
      <c r="D10" s="7" t="s">
        <v>5</v>
      </c>
      <c r="E10" s="3">
        <v>32149.66</v>
      </c>
    </row>
    <row r="11" spans="1:5" x14ac:dyDescent="0.45">
      <c r="A11" s="7" t="s">
        <v>6</v>
      </c>
      <c r="B11" s="3">
        <v>618761.42000000004</v>
      </c>
      <c r="D11" s="7" t="s">
        <v>6</v>
      </c>
      <c r="E11" s="3">
        <v>293429.65000000002</v>
      </c>
    </row>
    <row r="12" spans="1:5" x14ac:dyDescent="0.45">
      <c r="A12" s="7" t="s">
        <v>8</v>
      </c>
      <c r="B12" s="3">
        <v>580517.28</v>
      </c>
      <c r="D12" s="7" t="s">
        <v>8</v>
      </c>
      <c r="E12" s="3">
        <v>143160.34</v>
      </c>
    </row>
    <row r="13" spans="1:5" x14ac:dyDescent="0.45">
      <c r="A13" s="7" t="s">
        <v>11</v>
      </c>
      <c r="B13" s="6">
        <f>SUM(B3:B12)</f>
        <v>4001990.44</v>
      </c>
      <c r="D13" s="7" t="s">
        <v>11</v>
      </c>
      <c r="E13" s="9">
        <f>SUM(E3:E12)</f>
        <v>1149855.55</v>
      </c>
    </row>
  </sheetData>
  <mergeCells count="3">
    <mergeCell ref="A2:B2"/>
    <mergeCell ref="D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İlçelere göre</vt:lpstr>
      <vt:lpstr>İLÇELERE GÖRE YAKIT TAHAKKUKU</vt:lpstr>
      <vt:lpstr>'İlçelere göre'!Yazdırma_Alanı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2026-04-27T17:36:09Z</dcterms:modified>
</cp:coreProperties>
</file>